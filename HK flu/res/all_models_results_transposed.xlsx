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 activeTab="2"/>
  </bookViews>
  <sheets>
    <sheet name="constant" sheetId="1" r:id="rId1"/>
    <sheet name="gru" sheetId="2" r:id="rId2"/>
    <sheet name="tcn" sheetId="3" r:id="rId3"/>
    <sheet name="Nbeats" sheetId="4" r:id="rId4"/>
    <sheet name="itransformer" sheetId="5" r:id="rId5"/>
    <sheet name="ensemble_model" sheetId="6" r:id="rId6"/>
  </sheets>
  <definedNames>
    <definedName name="_xlnm._FilterDatabase" localSheetId="0" hidden="1">constant!$A$1:$A$9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<sst xmlns="http://schemas.openxmlformats.org/spreadsheetml/2006/main" count="103" uniqueCount="18">
  <si>
    <t>week0</t>
  </si>
  <si>
    <t>week1</t>
  </si>
  <si>
    <t>week2</t>
  </si>
  <si>
    <t>week3</t>
  </si>
  <si>
    <t>week4</t>
  </si>
  <si>
    <t>week5</t>
  </si>
  <si>
    <t>week6</t>
  </si>
  <si>
    <t>week7</t>
  </si>
  <si>
    <t>week8</t>
  </si>
  <si>
    <t>base_stage_holi_pf_WIS</t>
  </si>
  <si>
    <t>base_stage_holi_pf_MAE</t>
  </si>
  <si>
    <t>base_stage_holi_pf_Coverage_95</t>
  </si>
  <si>
    <t>base_stage_holi_pf_SMAPE</t>
  </si>
  <si>
    <t>base_WIS</t>
  </si>
  <si>
    <t>base_MAE</t>
  </si>
  <si>
    <t>base_Coverage_95</t>
  </si>
  <si>
    <t>base_SMAPE</t>
  </si>
  <si>
    <t>0.711428227999928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</si>
</sst>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K9"/>
  <sheetViews>
    <sheetView workbookViewId="0">
      <selection activeCell="K5" sqref="K5"/>
    </sheetView>
  </sheetViews>
  <sheetFormatPr defaultColWidth="9" defaultRowHeight="16.8"/>
  <cols>
    <col min="1" max="1" width="33.3846153846154" customWidth="1"/>
    <col min="11" max="11" width="12.9230769230769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hidden="1" spans="1:11">
      <c r="A2" s="1" t="s">
        <v>9</v>
      </c>
      <c r="B2">
        <v>0.547608238533927</v>
      </c>
      <c r="C2">
        <v>0.884584841128716</v>
      </c>
      <c r="D2">
        <v>1.09075761234216</v>
      </c>
      <c r="E2">
        <v>1.17265380273191</v>
      </c>
      <c r="F2">
        <v>1.24688525023675</v>
      </c>
      <c r="G2">
        <v>1.31504318683999</v>
      </c>
      <c r="H2">
        <v>1.32065833346276</v>
      </c>
      <c r="I2">
        <v>1.27317330777625</v>
      </c>
      <c r="J2">
        <v>1.21139278403255</v>
      </c>
      <c r="K2">
        <f t="shared" ref="K2:K9" si="0">AVERAGE(B2:J2)</f>
        <v>1.11808415078722</v>
      </c>
    </row>
    <row r="3" hidden="1" spans="1:11">
      <c r="A3" s="1" t="s">
        <v>10</v>
      </c>
      <c r="B3">
        <v>0.925681257619149</v>
      </c>
      <c r="C3">
        <v>1.39409450690638</v>
      </c>
      <c r="D3">
        <v>1.68343442018936</v>
      </c>
      <c r="E3">
        <v>1.77586843553404</v>
      </c>
      <c r="F3">
        <v>1.91212894984681</v>
      </c>
      <c r="G3">
        <v>2.07648332125532</v>
      </c>
      <c r="H3">
        <v>2.14529310264255</v>
      </c>
      <c r="I3">
        <v>2.12970957055957</v>
      </c>
      <c r="J3">
        <v>2.07339963216383</v>
      </c>
      <c r="K3">
        <f t="shared" si="0"/>
        <v>1.79067702185745</v>
      </c>
    </row>
    <row r="4" hidden="1" spans="1:11">
      <c r="A4" s="1" t="s">
        <v>11</v>
      </c>
      <c r="B4">
        <v>0.936170212765957</v>
      </c>
      <c r="C4">
        <v>0.851063829787234</v>
      </c>
      <c r="D4">
        <v>0.765957446808511</v>
      </c>
      <c r="E4">
        <v>0.723404255319149</v>
      </c>
      <c r="F4">
        <v>0.765957446808511</v>
      </c>
      <c r="G4">
        <v>0.680851063829787</v>
      </c>
      <c r="H4">
        <v>0.659574468085106</v>
      </c>
      <c r="I4">
        <v>0.74468085106383</v>
      </c>
      <c r="J4">
        <v>0.787234042553192</v>
      </c>
      <c r="K4">
        <f t="shared" si="0"/>
        <v>0.768321513002364</v>
      </c>
    </row>
    <row r="5" spans="1:11">
      <c r="A5" s="1" t="s">
        <v>12</v>
      </c>
      <c r="B5">
        <v>0.321955149242474</v>
      </c>
      <c r="C5">
        <v>0.464790482466443</v>
      </c>
      <c r="D5">
        <v>0.574665810127195</v>
      </c>
      <c r="E5">
        <v>0.619446841971679</v>
      </c>
      <c r="F5">
        <v>0.679020192174398</v>
      </c>
      <c r="G5">
        <v>0.766077165723332</v>
      </c>
      <c r="H5">
        <v>0.81192921110129</v>
      </c>
      <c r="I5">
        <v>0.840701231021694</v>
      </c>
      <c r="J5">
        <v>0.849834119457553</v>
      </c>
      <c r="K5">
        <f t="shared" si="0"/>
        <v>0.658713355920673</v>
      </c>
    </row>
    <row r="6" hidden="1" spans="1:11">
      <c r="A6" s="1" t="s">
        <v>13</v>
      </c>
      <c r="B6">
        <v>0.547608238533927</v>
      </c>
      <c r="C6">
        <v>0.884584841128716</v>
      </c>
      <c r="D6">
        <v>1.09075761234216</v>
      </c>
      <c r="E6">
        <v>1.17265380273191</v>
      </c>
      <c r="F6">
        <v>1.24688525023675</v>
      </c>
      <c r="G6">
        <v>1.31504318683999</v>
      </c>
      <c r="H6">
        <v>1.32065833346276</v>
      </c>
      <c r="I6">
        <v>1.27317330777625</v>
      </c>
      <c r="J6">
        <v>1.21139278403255</v>
      </c>
      <c r="K6">
        <f t="shared" si="0"/>
        <v>1.11808415078722</v>
      </c>
    </row>
    <row r="7" hidden="1" spans="1:11">
      <c r="A7" s="1" t="s">
        <v>14</v>
      </c>
      <c r="B7">
        <v>0.925681257619149</v>
      </c>
      <c r="C7">
        <v>1.39409450690638</v>
      </c>
      <c r="D7">
        <v>1.68343442018936</v>
      </c>
      <c r="E7">
        <v>1.77586843553404</v>
      </c>
      <c r="F7">
        <v>1.91212894984681</v>
      </c>
      <c r="G7">
        <v>2.07648332125532</v>
      </c>
      <c r="H7">
        <v>2.14529310264255</v>
      </c>
      <c r="I7">
        <v>2.12970957055957</v>
      </c>
      <c r="J7">
        <v>2.07339963216383</v>
      </c>
      <c r="K7">
        <f t="shared" si="0"/>
        <v>1.79067702185745</v>
      </c>
    </row>
    <row r="8" hidden="1" spans="1:11">
      <c r="A8" s="1" t="s">
        <v>15</v>
      </c>
      <c r="B8">
        <v>0.936170212765957</v>
      </c>
      <c r="C8">
        <v>0.851063829787234</v>
      </c>
      <c r="D8">
        <v>0.765957446808511</v>
      </c>
      <c r="E8">
        <v>0.723404255319149</v>
      </c>
      <c r="F8">
        <v>0.765957446808511</v>
      </c>
      <c r="G8">
        <v>0.680851063829787</v>
      </c>
      <c r="H8">
        <v>0.659574468085106</v>
      </c>
      <c r="I8">
        <v>0.74468085106383</v>
      </c>
      <c r="J8">
        <v>0.787234042553192</v>
      </c>
      <c r="K8">
        <f t="shared" si="0"/>
        <v>0.768321513002364</v>
      </c>
    </row>
    <row r="9" spans="1:11">
      <c r="A9" s="1" t="s">
        <v>16</v>
      </c>
      <c r="B9">
        <v>0.321955149242474</v>
      </c>
      <c r="C9">
        <v>0.464790482466443</v>
      </c>
      <c r="D9">
        <v>0.574665810127195</v>
      </c>
      <c r="E9">
        <v>0.619446841971679</v>
      </c>
      <c r="F9">
        <v>0.679020192174398</v>
      </c>
      <c r="G9">
        <v>0.766077165723332</v>
      </c>
      <c r="H9">
        <v>0.81192921110129</v>
      </c>
      <c r="I9">
        <v>0.840701231021694</v>
      </c>
      <c r="J9">
        <v>0.849834119457553</v>
      </c>
      <c r="K9">
        <f t="shared" si="0"/>
        <v>0.658713355920673</v>
      </c>
    </row>
  </sheetData>
  <autoFilter xmlns:etc="http://www.wps.cn/officeDocument/2017/etCustomData" ref="A1:A9" etc:filterBottomFollowUsedRange="0">
    <filterColumn colId="0">
      <customFilters>
        <customFilter operator="equal" val="base_SMAPE"/>
        <customFilter operator="equal" val="base_stage_holi_pf_SMAPE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K2" sqref="K2"/>
    </sheetView>
  </sheetViews>
  <sheetFormatPr defaultColWidth="9" defaultRowHeight="16.8"/>
  <cols>
    <col min="1" max="1" width="33.3846153846154" customWidth="1"/>
    <col min="11" max="11" width="12.9230769230769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>
      <c r="A2" s="1" t="s">
        <v>9</v>
      </c>
      <c r="B2">
        <v>0.549428710425791</v>
      </c>
      <c r="C2">
        <v>0.673747799278163</v>
      </c>
      <c r="D2">
        <v>0.688715614567392</v>
      </c>
      <c r="E2">
        <v>0.731625202009635</v>
      </c>
      <c r="F2">
        <v>0.671681226808516</v>
      </c>
      <c r="G2">
        <v>0.712366076041683</v>
      </c>
      <c r="H2">
        <v>0.795674758062765</v>
      </c>
      <c r="I2">
        <v>0.736205330749102</v>
      </c>
      <c r="J2">
        <v>0.785375195547506</v>
      </c>
      <c r="K2">
        <f t="shared" ref="K2:K9" si="0">AVERAGE(B2:J2)</f>
        <v>0.704979990387839</v>
      </c>
    </row>
    <row r="3" spans="1:11">
      <c r="A3" s="1" t="s">
        <v>10</v>
      </c>
      <c r="B3">
        <v>0.934099794492719</v>
      </c>
      <c r="C3">
        <v>1.12467294042486</v>
      </c>
      <c r="D3">
        <v>1.17634699162763</v>
      </c>
      <c r="E3">
        <v>1.34007619147038</v>
      </c>
      <c r="F3">
        <v>1.21704780598568</v>
      </c>
      <c r="G3">
        <v>1.28380822430184</v>
      </c>
      <c r="H3">
        <v>1.30415283288573</v>
      </c>
      <c r="I3">
        <v>1.2453833466756</v>
      </c>
      <c r="J3">
        <v>1.1896112740951</v>
      </c>
      <c r="K3">
        <f t="shared" si="0"/>
        <v>1.20168882243995</v>
      </c>
    </row>
    <row r="4" spans="1:11">
      <c r="A4" s="1" t="s">
        <v>11</v>
      </c>
      <c r="B4">
        <v>0.931818181818182</v>
      </c>
      <c r="C4">
        <v>0.931818181818182</v>
      </c>
      <c r="D4">
        <v>0.909090909090909</v>
      </c>
      <c r="E4">
        <v>0.840909090909091</v>
      </c>
      <c r="F4">
        <v>0.886363636363636</v>
      </c>
      <c r="G4">
        <v>0.863636363636364</v>
      </c>
      <c r="H4">
        <v>0.909090909090909</v>
      </c>
      <c r="I4">
        <v>0.931818181818182</v>
      </c>
      <c r="J4">
        <v>0.931818181818182</v>
      </c>
      <c r="K4">
        <f t="shared" si="0"/>
        <v>0.904040404040404</v>
      </c>
    </row>
    <row r="5" spans="1:11">
      <c r="A5" s="1" t="s">
        <v>12</v>
      </c>
      <c r="B5">
        <v>0.298107953272601</v>
      </c>
      <c r="C5">
        <v>0.390328187521293</v>
      </c>
      <c r="D5">
        <v>0.439767596143179</v>
      </c>
      <c r="E5">
        <v>0.487904787998593</v>
      </c>
      <c r="F5">
        <v>0.476724275717797</v>
      </c>
      <c r="G5">
        <v>0.546958314993807</v>
      </c>
      <c r="H5">
        <v>0.618875658914615</v>
      </c>
      <c r="I5">
        <v>0.628201356187608</v>
      </c>
      <c r="J5">
        <v>0.599578005104456</v>
      </c>
      <c r="K5">
        <f t="shared" si="0"/>
        <v>0.498494015094883</v>
      </c>
    </row>
    <row r="6" spans="1:11">
      <c r="A6" s="1" t="s">
        <v>13</v>
      </c>
      <c r="B6">
        <v>0.666291242612629</v>
      </c>
      <c r="C6">
        <v>0.92916955555021</v>
      </c>
      <c r="D6">
        <v>1.09087733736187</v>
      </c>
      <c r="E6">
        <v>1.18720429470986</v>
      </c>
      <c r="F6">
        <v>1.24794068180936</v>
      </c>
      <c r="G6">
        <v>1.38850800923426</v>
      </c>
      <c r="H6">
        <v>1.4650048141866</v>
      </c>
      <c r="I6">
        <v>1.39468736860955</v>
      </c>
      <c r="J6">
        <v>1.47616804308597</v>
      </c>
      <c r="K6">
        <f t="shared" si="0"/>
        <v>1.20509459412892</v>
      </c>
    </row>
    <row r="7" spans="1:11">
      <c r="A7" s="1" t="s">
        <v>14</v>
      </c>
      <c r="B7">
        <v>1.15994065555093</v>
      </c>
      <c r="C7">
        <v>1.54450195111217</v>
      </c>
      <c r="D7">
        <v>1.89132823214543</v>
      </c>
      <c r="E7">
        <v>2.07492148833158</v>
      </c>
      <c r="F7">
        <v>2.17661009029255</v>
      </c>
      <c r="G7">
        <v>2.4337176003767</v>
      </c>
      <c r="H7">
        <v>2.62832857439748</v>
      </c>
      <c r="I7">
        <v>2.57039730573586</v>
      </c>
      <c r="J7">
        <v>2.76815693577847</v>
      </c>
      <c r="K7">
        <f t="shared" si="0"/>
        <v>2.13865587041346</v>
      </c>
    </row>
    <row r="8" spans="1:11">
      <c r="A8" s="1" t="s">
        <v>15</v>
      </c>
      <c r="B8">
        <v>0.931818181818182</v>
      </c>
      <c r="C8">
        <v>0.795454545454545</v>
      </c>
      <c r="D8">
        <v>0.727272727272727</v>
      </c>
      <c r="E8">
        <v>0.659090909090909</v>
      </c>
      <c r="F8">
        <v>0.659090909090909</v>
      </c>
      <c r="G8">
        <v>0.636363636363636</v>
      </c>
      <c r="H8">
        <v>0.613636363636364</v>
      </c>
      <c r="I8">
        <v>0.659090909090909</v>
      </c>
      <c r="J8">
        <v>0.659090909090909</v>
      </c>
      <c r="K8">
        <f t="shared" si="0"/>
        <v>0.704545454545455</v>
      </c>
    </row>
    <row r="9" spans="1:11">
      <c r="A9" s="1" t="s">
        <v>16</v>
      </c>
      <c r="B9">
        <v>0.352040517539458</v>
      </c>
      <c r="C9">
        <v>0.474920427814387</v>
      </c>
      <c r="D9">
        <v>0.577440343428555</v>
      </c>
      <c r="E9">
        <v>0.649346087093576</v>
      </c>
      <c r="F9">
        <v>0.685437378317029</v>
      </c>
      <c r="G9">
        <v>0.768921904533393</v>
      </c>
      <c r="H9">
        <v>0.855466822277949</v>
      </c>
      <c r="I9">
        <v>0.900252032060309</v>
      </c>
      <c r="J9">
        <v>0.974827705753478</v>
      </c>
      <c r="K9">
        <f t="shared" si="0"/>
        <v>0.693183690979793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tabSelected="1" workbookViewId="0">
      <selection activeCell="E3" sqref="E3"/>
    </sheetView>
  </sheetViews>
  <sheetFormatPr defaultColWidth="9" defaultRowHeight="16.8"/>
  <cols>
    <col min="1" max="1" width="33.3846153846154" customWidth="1"/>
    <col min="11" max="11" width="12.9230769230769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>
      <c r="A2" s="1" t="s">
        <v>9</v>
      </c>
      <c r="B2" s="2" t="s">
        <v>17</v>
      </c>
      <c r="C2">
        <v>0.702720098894139</v>
      </c>
      <c r="D2">
        <v>0.580331177996064</v>
      </c>
      <c r="E2">
        <v>0.696573566726493</v>
      </c>
      <c r="F2">
        <v>0.704749787955433</v>
      </c>
      <c r="G2">
        <v>0.808268908877832</v>
      </c>
      <c r="H2">
        <v>0.905801796435047</v>
      </c>
      <c r="I2">
        <v>0.792962210410065</v>
      </c>
      <c r="J2">
        <v>0.83330136101404</v>
      </c>
      <c r="K2">
        <f t="shared" ref="K2:K9" si="0">AVERAGE(B2:J2)</f>
        <v>0.753088613538639</v>
      </c>
    </row>
    <row r="3" spans="1:11">
      <c r="A3" s="1" t="s">
        <v>10</v>
      </c>
      <c r="B3">
        <v>1.24681794714672</v>
      </c>
      <c r="C3">
        <v>1.21648561050734</v>
      </c>
      <c r="D3">
        <v>1.00788480815191</v>
      </c>
      <c r="E3">
        <v>1.09114085291203</v>
      </c>
      <c r="F3">
        <v>1.13789731231144</v>
      </c>
      <c r="G3">
        <v>1.21168622558754</v>
      </c>
      <c r="H3">
        <v>1.36899307154881</v>
      </c>
      <c r="I3">
        <v>1.27640176175252</v>
      </c>
      <c r="J3">
        <v>1.36837075989291</v>
      </c>
      <c r="K3">
        <f t="shared" si="0"/>
        <v>1.21396426109014</v>
      </c>
    </row>
    <row r="4" spans="1:11">
      <c r="A4" s="1" t="s">
        <v>11</v>
      </c>
      <c r="B4">
        <v>0.886363636363636</v>
      </c>
      <c r="C4">
        <v>0.863636363636364</v>
      </c>
      <c r="D4">
        <v>0.954545454545455</v>
      </c>
      <c r="E4">
        <v>0.909090909090909</v>
      </c>
      <c r="F4">
        <v>0.931818181818182</v>
      </c>
      <c r="G4">
        <v>0.886363636363636</v>
      </c>
      <c r="H4">
        <v>0.818181818181818</v>
      </c>
      <c r="I4">
        <v>0.840909090909091</v>
      </c>
      <c r="J4">
        <v>0.886363636363636</v>
      </c>
      <c r="K4">
        <f t="shared" si="0"/>
        <v>0.886363636363636</v>
      </c>
    </row>
    <row r="5" spans="1:11">
      <c r="A5" s="1" t="s">
        <v>12</v>
      </c>
      <c r="B5">
        <v>0.399818611863936</v>
      </c>
      <c r="C5">
        <v>0.440628451753314</v>
      </c>
      <c r="D5">
        <v>0.412426056275585</v>
      </c>
      <c r="E5">
        <v>0.465491759075298</v>
      </c>
      <c r="F5">
        <v>0.507782825598375</v>
      </c>
      <c r="G5">
        <v>0.586311492653616</v>
      </c>
      <c r="H5">
        <v>0.79777374910052</v>
      </c>
      <c r="I5">
        <v>0.712622572790503</v>
      </c>
      <c r="J5">
        <v>0.758900275314681</v>
      </c>
      <c r="K5">
        <f t="shared" si="0"/>
        <v>0.564639532713981</v>
      </c>
    </row>
    <row r="6" spans="1:11">
      <c r="A6" s="1" t="s">
        <v>13</v>
      </c>
      <c r="B6">
        <v>0.683606865487908</v>
      </c>
      <c r="C6">
        <v>0.952570763091219</v>
      </c>
      <c r="D6">
        <v>1.19673451399475</v>
      </c>
      <c r="E6">
        <v>1.33827734733503</v>
      </c>
      <c r="F6">
        <v>1.59792607977078</v>
      </c>
      <c r="G6">
        <v>1.34354250581765</v>
      </c>
      <c r="H6">
        <v>1.55368808443177</v>
      </c>
      <c r="I6">
        <v>1.43026720842191</v>
      </c>
      <c r="J6">
        <v>1.17018619446729</v>
      </c>
      <c r="K6">
        <f t="shared" si="0"/>
        <v>1.25186661809092</v>
      </c>
    </row>
    <row r="7" spans="1:11">
      <c r="A7" s="1" t="s">
        <v>14</v>
      </c>
      <c r="B7">
        <v>1.172043869023</v>
      </c>
      <c r="C7">
        <v>1.49307495163143</v>
      </c>
      <c r="D7">
        <v>1.87591800706142</v>
      </c>
      <c r="E7">
        <v>2.07290184576058</v>
      </c>
      <c r="F7">
        <v>2.46084081427402</v>
      </c>
      <c r="G7">
        <v>2.17890958313637</v>
      </c>
      <c r="H7">
        <v>2.47485819108016</v>
      </c>
      <c r="I7">
        <v>2.43051307197852</v>
      </c>
      <c r="J7">
        <v>2.15352204542093</v>
      </c>
      <c r="K7">
        <f t="shared" si="0"/>
        <v>2.03473137548516</v>
      </c>
    </row>
    <row r="8" spans="1:11">
      <c r="A8" s="1" t="s">
        <v>15</v>
      </c>
      <c r="B8">
        <v>0.863636363636364</v>
      </c>
      <c r="C8">
        <v>0.772727272727273</v>
      </c>
      <c r="D8">
        <v>0.727272727272727</v>
      </c>
      <c r="E8">
        <v>0.636363636363636</v>
      </c>
      <c r="F8">
        <v>0.590909090909091</v>
      </c>
      <c r="G8">
        <v>0.613636363636364</v>
      </c>
      <c r="H8">
        <v>0.590909090909091</v>
      </c>
      <c r="I8">
        <v>0.613636363636364</v>
      </c>
      <c r="J8">
        <v>0.659090909090909</v>
      </c>
      <c r="K8">
        <f t="shared" si="0"/>
        <v>0.674242424242424</v>
      </c>
    </row>
    <row r="9" spans="1:11">
      <c r="A9" s="1" t="s">
        <v>16</v>
      </c>
      <c r="B9">
        <v>0.35035993050631</v>
      </c>
      <c r="C9">
        <v>0.453994109731605</v>
      </c>
      <c r="D9">
        <v>0.561189085674292</v>
      </c>
      <c r="E9">
        <v>0.616966396420341</v>
      </c>
      <c r="F9">
        <v>0.780109606321232</v>
      </c>
      <c r="G9">
        <v>0.816950471222238</v>
      </c>
      <c r="H9">
        <v>0.876480551985133</v>
      </c>
      <c r="I9">
        <v>0.931606902748661</v>
      </c>
      <c r="J9">
        <v>0.909884256087683</v>
      </c>
      <c r="K9">
        <f t="shared" si="0"/>
        <v>0.699726812299722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K9" sqref="K9"/>
    </sheetView>
  </sheetViews>
  <sheetFormatPr defaultColWidth="9" defaultRowHeight="16.8"/>
  <cols>
    <col min="1" max="1" width="33.3846153846154" customWidth="1"/>
    <col min="11" max="11" width="12.9230769230769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>
      <c r="A2" s="1" t="s">
        <v>9</v>
      </c>
      <c r="B2">
        <v>0.567826924158649</v>
      </c>
      <c r="C2">
        <v>0.74924789263201</v>
      </c>
      <c r="D2">
        <v>0.712788352715553</v>
      </c>
      <c r="E2">
        <v>0.790574199161974</v>
      </c>
      <c r="F2">
        <v>0.881044803119012</v>
      </c>
      <c r="G2">
        <v>0.982904580679986</v>
      </c>
      <c r="H2">
        <v>1.26518437054827</v>
      </c>
      <c r="I2">
        <v>1.12649443616112</v>
      </c>
      <c r="J2">
        <v>1.0502072588841</v>
      </c>
      <c r="K2">
        <f t="shared" ref="K2:K9" si="0">AVERAGE(B2:J2)</f>
        <v>0.902919202006742</v>
      </c>
    </row>
    <row r="3" spans="1:11">
      <c r="A3" s="1" t="s">
        <v>10</v>
      </c>
      <c r="B3">
        <v>0.970570870206314</v>
      </c>
      <c r="C3">
        <v>1.21458437763135</v>
      </c>
      <c r="D3">
        <v>1.15156031988021</v>
      </c>
      <c r="E3">
        <v>1.34759065714242</v>
      </c>
      <c r="F3">
        <v>1.32581743173051</v>
      </c>
      <c r="G3">
        <v>1.42182808915979</v>
      </c>
      <c r="H3">
        <v>1.60104788502724</v>
      </c>
      <c r="I3">
        <v>1.48216988908022</v>
      </c>
      <c r="J3">
        <v>1.39665937492408</v>
      </c>
      <c r="K3">
        <f t="shared" si="0"/>
        <v>1.32353654386468</v>
      </c>
    </row>
    <row r="4" spans="1:11">
      <c r="A4" s="1" t="s">
        <v>11</v>
      </c>
      <c r="B4">
        <v>1</v>
      </c>
      <c r="C4">
        <v>0.863636363636364</v>
      </c>
      <c r="D4">
        <v>0.863636363636364</v>
      </c>
      <c r="E4">
        <v>0.840909090909091</v>
      </c>
      <c r="F4">
        <v>0.795454545454545</v>
      </c>
      <c r="G4">
        <v>0.772727272727273</v>
      </c>
      <c r="H4">
        <v>0.659090909090909</v>
      </c>
      <c r="I4">
        <v>0.75</v>
      </c>
      <c r="J4">
        <v>0.75</v>
      </c>
      <c r="K4">
        <f t="shared" si="0"/>
        <v>0.810606060606061</v>
      </c>
    </row>
    <row r="5" spans="1:11">
      <c r="A5" s="1" t="s">
        <v>12</v>
      </c>
      <c r="B5">
        <v>0.390236823215744</v>
      </c>
      <c r="C5">
        <v>0.43528443198229</v>
      </c>
      <c r="D5">
        <v>0.463649034610573</v>
      </c>
      <c r="E5">
        <v>0.574715594344909</v>
      </c>
      <c r="F5">
        <v>0.634403750444027</v>
      </c>
      <c r="G5">
        <v>0.648293009224043</v>
      </c>
      <c r="H5">
        <v>0.920843676957346</v>
      </c>
      <c r="I5">
        <v>0.880054366937906</v>
      </c>
      <c r="J5">
        <v>0.803502345962612</v>
      </c>
      <c r="K5">
        <f t="shared" si="0"/>
        <v>0.638998114853272</v>
      </c>
    </row>
    <row r="6" spans="1:11">
      <c r="A6" s="1" t="s">
        <v>13</v>
      </c>
      <c r="B6">
        <v>0.563936572924221</v>
      </c>
      <c r="C6">
        <v>0.89121626743466</v>
      </c>
      <c r="D6">
        <v>1.03341098028315</v>
      </c>
      <c r="E6">
        <v>1.15510148035348</v>
      </c>
      <c r="F6">
        <v>1.22294563349473</v>
      </c>
      <c r="G6">
        <v>1.33674179382697</v>
      </c>
      <c r="H6">
        <v>1.16221235416828</v>
      </c>
      <c r="I6">
        <v>1.20843622592195</v>
      </c>
      <c r="J6">
        <v>1.07513308869611</v>
      </c>
      <c r="K6">
        <f t="shared" si="0"/>
        <v>1.07212604412262</v>
      </c>
    </row>
    <row r="7" spans="1:11">
      <c r="A7" s="1" t="s">
        <v>14</v>
      </c>
      <c r="B7">
        <v>0.962881107346846</v>
      </c>
      <c r="C7">
        <v>1.4595589494718</v>
      </c>
      <c r="D7">
        <v>1.70105130682149</v>
      </c>
      <c r="E7">
        <v>1.87326733398129</v>
      </c>
      <c r="F7">
        <v>2.01242909480739</v>
      </c>
      <c r="G7">
        <v>2.24682471188744</v>
      </c>
      <c r="H7">
        <v>2.00746511643249</v>
      </c>
      <c r="I7">
        <v>2.13258176853009</v>
      </c>
      <c r="J7">
        <v>1.97028348447264</v>
      </c>
      <c r="K7">
        <f t="shared" si="0"/>
        <v>1.81848254152794</v>
      </c>
    </row>
    <row r="8" spans="1:11">
      <c r="A8" s="1" t="s">
        <v>15</v>
      </c>
      <c r="B8">
        <v>0.931818181818182</v>
      </c>
      <c r="C8">
        <v>0.840909090909091</v>
      </c>
      <c r="D8">
        <v>0.795454545454545</v>
      </c>
      <c r="E8">
        <v>0.659090909090909</v>
      </c>
      <c r="F8">
        <v>0.659090909090909</v>
      </c>
      <c r="G8">
        <v>0.659090909090909</v>
      </c>
      <c r="H8">
        <v>0.727272727272727</v>
      </c>
      <c r="I8">
        <v>0.659090909090909</v>
      </c>
      <c r="J8">
        <v>0.795454545454545</v>
      </c>
      <c r="K8">
        <f t="shared" si="0"/>
        <v>0.747474747474748</v>
      </c>
    </row>
    <row r="9" spans="1:11">
      <c r="A9" s="1" t="s">
        <v>16</v>
      </c>
      <c r="B9">
        <v>0.298995389455278</v>
      </c>
      <c r="C9">
        <v>0.429335571232238</v>
      </c>
      <c r="D9">
        <v>0.524670826319879</v>
      </c>
      <c r="E9">
        <v>0.589556086108766</v>
      </c>
      <c r="F9">
        <v>0.647477167483066</v>
      </c>
      <c r="G9">
        <v>0.73183048624544</v>
      </c>
      <c r="H9">
        <v>0.729624401192447</v>
      </c>
      <c r="I9">
        <v>0.791093659353913</v>
      </c>
      <c r="J9">
        <v>0.800711510082807</v>
      </c>
      <c r="K9">
        <f t="shared" si="0"/>
        <v>0.615921677497093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K2" sqref="K2"/>
    </sheetView>
  </sheetViews>
  <sheetFormatPr defaultColWidth="9" defaultRowHeight="16.8"/>
  <cols>
    <col min="1" max="1" width="33.3846153846154" customWidth="1"/>
    <col min="11" max="11" width="12.9230769230769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>
      <c r="A2" s="1" t="s">
        <v>9</v>
      </c>
      <c r="B2">
        <v>0.649232781458742</v>
      </c>
      <c r="C2">
        <v>0.813095157396949</v>
      </c>
      <c r="D2">
        <v>0.728474826406151</v>
      </c>
      <c r="E2">
        <v>0.752029864393832</v>
      </c>
      <c r="F2">
        <v>0.87005001023362</v>
      </c>
      <c r="G2">
        <v>0.899030876009132</v>
      </c>
      <c r="H2">
        <v>0.929067126344439</v>
      </c>
      <c r="I2">
        <v>0.932596615765157</v>
      </c>
      <c r="J2">
        <v>0.908521232763678</v>
      </c>
      <c r="K2">
        <f t="shared" ref="K2:K9" si="0">AVERAGE(B2:J2)</f>
        <v>0.831344276752411</v>
      </c>
    </row>
    <row r="3" spans="1:11">
      <c r="A3" s="1" t="s">
        <v>10</v>
      </c>
      <c r="B3">
        <v>1.10608054258583</v>
      </c>
      <c r="C3">
        <v>1.43562176376293</v>
      </c>
      <c r="D3">
        <v>1.24863895529383</v>
      </c>
      <c r="E3">
        <v>1.28523205011073</v>
      </c>
      <c r="F3">
        <v>1.3955565718496</v>
      </c>
      <c r="G3">
        <v>1.45734821076337</v>
      </c>
      <c r="H3">
        <v>1.49141478711147</v>
      </c>
      <c r="I3">
        <v>1.4612887811809</v>
      </c>
      <c r="J3">
        <v>1.41143539308896</v>
      </c>
      <c r="K3">
        <f t="shared" si="0"/>
        <v>1.36584633952751</v>
      </c>
    </row>
    <row r="4" spans="1:11">
      <c r="A4" s="1" t="s">
        <v>11</v>
      </c>
      <c r="B4">
        <v>0.931818181818182</v>
      </c>
      <c r="C4">
        <v>0.909090909090909</v>
      </c>
      <c r="D4">
        <v>0.909090909090909</v>
      </c>
      <c r="E4">
        <v>0.931818181818182</v>
      </c>
      <c r="F4">
        <v>0.840909090909091</v>
      </c>
      <c r="G4">
        <v>0.818181818181818</v>
      </c>
      <c r="H4">
        <v>0.863636363636364</v>
      </c>
      <c r="I4">
        <v>0.818181818181818</v>
      </c>
      <c r="J4">
        <v>0.886363636363636</v>
      </c>
      <c r="K4">
        <f t="shared" si="0"/>
        <v>0.878787878787879</v>
      </c>
    </row>
    <row r="5" spans="1:11">
      <c r="A5" s="1" t="s">
        <v>12</v>
      </c>
      <c r="B5">
        <v>0.355189150910267</v>
      </c>
      <c r="C5">
        <v>0.453816146501187</v>
      </c>
      <c r="D5">
        <v>0.46212593391181</v>
      </c>
      <c r="E5">
        <v>0.50723393727869</v>
      </c>
      <c r="F5">
        <v>0.516475954579177</v>
      </c>
      <c r="G5">
        <v>0.562884020914775</v>
      </c>
      <c r="H5">
        <v>0.660838095335899</v>
      </c>
      <c r="I5">
        <v>0.757172371229604</v>
      </c>
      <c r="J5">
        <v>0.753613869111618</v>
      </c>
      <c r="K5">
        <f t="shared" si="0"/>
        <v>0.55881660886367</v>
      </c>
    </row>
    <row r="6" spans="1:11">
      <c r="A6" s="1" t="s">
        <v>13</v>
      </c>
      <c r="B6">
        <v>0.64326071994922</v>
      </c>
      <c r="C6">
        <v>1.01317520200115</v>
      </c>
      <c r="D6">
        <v>1.47279719460703</v>
      </c>
      <c r="E6">
        <v>1.60639454852427</v>
      </c>
      <c r="F6">
        <v>1.6358216038824</v>
      </c>
      <c r="G6">
        <v>1.66783737278025</v>
      </c>
      <c r="H6">
        <v>1.38311736236305</v>
      </c>
      <c r="I6">
        <v>1.3002555020806</v>
      </c>
      <c r="J6">
        <v>1.19069492044</v>
      </c>
      <c r="K6">
        <f t="shared" si="0"/>
        <v>1.32370604740311</v>
      </c>
    </row>
    <row r="7" spans="1:11">
      <c r="A7" s="1" t="s">
        <v>14</v>
      </c>
      <c r="B7">
        <v>1.0286603508142</v>
      </c>
      <c r="C7">
        <v>1.54421382487397</v>
      </c>
      <c r="D7">
        <v>2.19530349642272</v>
      </c>
      <c r="E7">
        <v>2.38934328671372</v>
      </c>
      <c r="F7">
        <v>2.39162660787647</v>
      </c>
      <c r="G7">
        <v>2.49282970397183</v>
      </c>
      <c r="H7">
        <v>2.14505287407993</v>
      </c>
      <c r="I7">
        <v>2.16655033763091</v>
      </c>
      <c r="J7">
        <v>2.06632038548885</v>
      </c>
      <c r="K7">
        <f t="shared" si="0"/>
        <v>2.04665565198585</v>
      </c>
    </row>
    <row r="8" spans="1:11">
      <c r="A8" s="1" t="s">
        <v>15</v>
      </c>
      <c r="B8">
        <v>0.909090909090909</v>
      </c>
      <c r="C8">
        <v>0.818181818181818</v>
      </c>
      <c r="D8">
        <v>0.772727272727273</v>
      </c>
      <c r="E8">
        <v>0.681818181818182</v>
      </c>
      <c r="F8">
        <v>0.727272727272727</v>
      </c>
      <c r="G8">
        <v>0.727272727272727</v>
      </c>
      <c r="H8">
        <v>0.795454545454545</v>
      </c>
      <c r="I8">
        <v>0.727272727272727</v>
      </c>
      <c r="J8">
        <v>0.75</v>
      </c>
      <c r="K8">
        <f t="shared" si="0"/>
        <v>0.767676767676768</v>
      </c>
    </row>
    <row r="9" spans="1:11">
      <c r="A9" s="1" t="s">
        <v>16</v>
      </c>
      <c r="B9">
        <v>0.314594753070564</v>
      </c>
      <c r="C9">
        <v>0.471355472889504</v>
      </c>
      <c r="D9">
        <v>0.688232844710097</v>
      </c>
      <c r="E9">
        <v>0.704808789626515</v>
      </c>
      <c r="F9">
        <v>0.737664103159521</v>
      </c>
      <c r="G9">
        <v>0.814458635558241</v>
      </c>
      <c r="H9">
        <v>0.730206496417984</v>
      </c>
      <c r="I9">
        <v>0.785807517690052</v>
      </c>
      <c r="J9">
        <v>0.806565587306193</v>
      </c>
      <c r="K9">
        <f t="shared" si="0"/>
        <v>0.672632688936519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"/>
  <sheetViews>
    <sheetView workbookViewId="0">
      <selection activeCell="K5" sqref="K5"/>
    </sheetView>
  </sheetViews>
  <sheetFormatPr defaultColWidth="9" defaultRowHeight="16.8"/>
  <cols>
    <col min="1" max="1" width="33.3846153846154" customWidth="1"/>
    <col min="11" max="11" width="12.9230769230769"/>
  </cols>
  <sheetData>
    <row r="1" spans="2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1">
      <c r="A2" s="1" t="s">
        <v>9</v>
      </c>
      <c r="B2">
        <v>0.517951758540471</v>
      </c>
      <c r="C2">
        <v>0.642124417185562</v>
      </c>
      <c r="D2">
        <v>0.589184248305675</v>
      </c>
      <c r="E2">
        <v>0.612686748959466</v>
      </c>
      <c r="F2">
        <v>0.646229916242093</v>
      </c>
      <c r="G2">
        <v>0.71189842274378</v>
      </c>
      <c r="H2">
        <v>0.795221916274652</v>
      </c>
      <c r="I2">
        <v>0.74373080631815</v>
      </c>
      <c r="J2">
        <v>0.770154906512718</v>
      </c>
      <c r="K2">
        <f t="shared" ref="K2:K9" si="0">AVERAGE(B2:J2)</f>
        <v>0.669909237898063</v>
      </c>
    </row>
    <row r="3" spans="1:11">
      <c r="A3" s="1" t="s">
        <v>10</v>
      </c>
      <c r="B3">
        <v>0.907660478158274</v>
      </c>
      <c r="C3">
        <v>1.14217271217294</v>
      </c>
      <c r="D3">
        <v>1.05493181134851</v>
      </c>
      <c r="E3">
        <v>1.06050233123935</v>
      </c>
      <c r="F3">
        <v>1.06141699933454</v>
      </c>
      <c r="G3">
        <v>1.17165576560407</v>
      </c>
      <c r="H3">
        <v>1.21553692509165</v>
      </c>
      <c r="I3">
        <v>1.18479921787331</v>
      </c>
      <c r="J3">
        <v>1.19506545294824</v>
      </c>
      <c r="K3">
        <f t="shared" si="0"/>
        <v>1.11041574375232</v>
      </c>
    </row>
    <row r="4" spans="1:11">
      <c r="A4" s="1" t="s">
        <v>11</v>
      </c>
      <c r="B4">
        <v>0.977272727272727</v>
      </c>
      <c r="C4">
        <v>0.909090909090909</v>
      </c>
      <c r="D4">
        <v>0.931818181818182</v>
      </c>
      <c r="E4">
        <v>0.954545454545455</v>
      </c>
      <c r="F4">
        <v>0.931818181818182</v>
      </c>
      <c r="G4">
        <v>0.931818181818182</v>
      </c>
      <c r="H4">
        <v>0.909090909090909</v>
      </c>
      <c r="I4">
        <v>0.954545454545455</v>
      </c>
      <c r="J4">
        <v>0.931818181818182</v>
      </c>
      <c r="K4">
        <f t="shared" si="0"/>
        <v>0.936868686868687</v>
      </c>
    </row>
    <row r="5" spans="1:11">
      <c r="A5" s="1" t="s">
        <v>12</v>
      </c>
      <c r="B5">
        <v>0.307006922333095</v>
      </c>
      <c r="C5">
        <v>0.389900774442179</v>
      </c>
      <c r="D5">
        <v>0.417126325144911</v>
      </c>
      <c r="E5">
        <v>0.429331028434066</v>
      </c>
      <c r="F5">
        <v>0.449369532179003</v>
      </c>
      <c r="G5">
        <v>0.508599842466403</v>
      </c>
      <c r="H5">
        <v>0.571466329850478</v>
      </c>
      <c r="I5">
        <v>0.619534496026589</v>
      </c>
      <c r="J5">
        <v>0.639200253226161</v>
      </c>
      <c r="K5">
        <f t="shared" si="0"/>
        <v>0.481281722678098</v>
      </c>
    </row>
    <row r="6" spans="1:11">
      <c r="A6" s="1" t="s">
        <v>13</v>
      </c>
      <c r="B6">
        <v>0.517951758540471</v>
      </c>
      <c r="C6">
        <v>0.642124417185562</v>
      </c>
      <c r="D6">
        <v>0.589184248305675</v>
      </c>
      <c r="E6">
        <v>0.612686748959466</v>
      </c>
      <c r="F6">
        <v>0.646229916242093</v>
      </c>
      <c r="G6">
        <v>0.71189842274378</v>
      </c>
      <c r="H6">
        <v>0.795221916274652</v>
      </c>
      <c r="I6">
        <v>0.74373080631815</v>
      </c>
      <c r="J6">
        <v>0.770154906512718</v>
      </c>
      <c r="K6">
        <f t="shared" si="0"/>
        <v>0.669909237898063</v>
      </c>
    </row>
    <row r="7" spans="1:11">
      <c r="A7" s="1" t="s">
        <v>14</v>
      </c>
      <c r="B7">
        <v>0.907660478158274</v>
      </c>
      <c r="C7">
        <v>1.14217271217294</v>
      </c>
      <c r="D7">
        <v>1.05493181134851</v>
      </c>
      <c r="E7">
        <v>1.06050233123935</v>
      </c>
      <c r="F7">
        <v>1.06141699933454</v>
      </c>
      <c r="G7">
        <v>1.17165576560407</v>
      </c>
      <c r="H7">
        <v>1.21553692509165</v>
      </c>
      <c r="I7">
        <v>1.18479921787331</v>
      </c>
      <c r="J7">
        <v>1.19506545294824</v>
      </c>
      <c r="K7">
        <f t="shared" si="0"/>
        <v>1.11041574375232</v>
      </c>
    </row>
    <row r="8" spans="1:11">
      <c r="A8" s="1" t="s">
        <v>15</v>
      </c>
      <c r="B8">
        <v>0.977272727272727</v>
      </c>
      <c r="C8">
        <v>0.909090909090909</v>
      </c>
      <c r="D8">
        <v>0.931818181818182</v>
      </c>
      <c r="E8">
        <v>0.954545454545455</v>
      </c>
      <c r="F8">
        <v>0.931818181818182</v>
      </c>
      <c r="G8">
        <v>0.931818181818182</v>
      </c>
      <c r="H8">
        <v>0.909090909090909</v>
      </c>
      <c r="I8">
        <v>0.954545454545455</v>
      </c>
      <c r="J8">
        <v>0.931818181818182</v>
      </c>
      <c r="K8">
        <f t="shared" si="0"/>
        <v>0.936868686868687</v>
      </c>
    </row>
    <row r="9" spans="1:11">
      <c r="A9" s="1" t="s">
        <v>16</v>
      </c>
      <c r="B9">
        <v>0.307006922333095</v>
      </c>
      <c r="C9">
        <v>0.389900774442179</v>
      </c>
      <c r="D9">
        <v>0.417126325144911</v>
      </c>
      <c r="E9">
        <v>0.429331028434066</v>
      </c>
      <c r="F9">
        <v>0.449369532179003</v>
      </c>
      <c r="G9">
        <v>0.508599842466403</v>
      </c>
      <c r="H9">
        <v>0.571466329850478</v>
      </c>
      <c r="I9">
        <v>0.619534496026589</v>
      </c>
      <c r="J9">
        <v>0.639200253226161</v>
      </c>
      <c r="K9">
        <f t="shared" si="0"/>
        <v>0.481281722678098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constant</vt:lpstr>
      <vt:lpstr>gru</vt:lpstr>
      <vt:lpstr>tcn</vt:lpstr>
      <vt:lpstr>Nbeats</vt:lpstr>
      <vt:lpstr>itransformer</vt:lpstr>
      <vt:lpstr>ensemble_model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Dennis_lzm</cp:lastModifiedBy>
  <dcterms:created xsi:type="dcterms:W3CDTF">2025-10-17T00:25:00Z</dcterms:created>
  <dcterms:modified xsi:type="dcterms:W3CDTF">2025-10-17T16:36:13Z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7DBC0A40DB39E80EF3B4F06892F3DC97_42</vt:lpwstr>
  </property>
  <property fmtid="{D5CDD505-2E9C-101B-9397-08002B2CF9AE}" pid="3" name="KSOProductBuildVer">
    <vt:lpwstr>2052-12.1.22553.22553</vt:lpwstr>
  </property>
</Properties>
</file>