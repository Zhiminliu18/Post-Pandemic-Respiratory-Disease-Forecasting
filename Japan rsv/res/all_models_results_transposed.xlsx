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60" activeTab="5"/>
  </bookViews>
  <sheets>
    <sheet name="constant" sheetId="1" r:id="rId1"/>
    <sheet name="gru" sheetId="2" r:id="rId2"/>
    <sheet name="tcn" sheetId="3" r:id="rId3"/>
    <sheet name="Nbeats" sheetId="4" r:id="rId4"/>
    <sheet name="itransformer" sheetId="5" r:id="rId5"/>
    <sheet name="ensemble_mode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<sst xmlns="http://schemas.openxmlformats.org/spreadsheetml/2006/main" count="102" uniqueCount="17">
  <si>
    <t>week0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</si>
  <si>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</si>
  <si>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</si>
  <si>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</si>
  <si>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</si>
  <si>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</si>
  <si>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</si>
  <si>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</si>
  <si>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</si>
  <si>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base_week_holi_pf_WIS</t>
  </si>
  <si>
    <t>base_week_holi_pf_MAE</t>
  </si>
  <si>
    <t>base_week_holi_pf_Coverage_95</t>
  </si>
  <si>
    <t>base_week_holi_pf_SMAPE</t>
  </si>
  <si>
    <t>base_week_WIS</t>
  </si>
  <si>
    <t>base_week_MAE</t>
  </si>
  <si>
    <t>base_week_Coverage_95</t>
  </si>
  <si>
    <t>base_week_SMAPE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</si>
</sst>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K5" sqref="K5"/>
    </sheetView>
  </sheetViews>
  <sheetFormatPr defaultColWidth="9" defaultRowHeight="16.8"/>
  <cols>
    <col min="1" max="1" width="33.3846153846154" customWidth="1"/>
    <col min="11" max="11" width="12.9230769230769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1">
      <c r="A2" s="1" t="s">
        <v>9</v>
      </c>
      <c r="B2">
        <v>0.289702911177077</v>
      </c>
      <c r="C2">
        <v>0.405179702608987</v>
      </c>
      <c r="D2">
        <v>0.514212308349812</v>
      </c>
      <c r="E2">
        <v>0.5841640986722</v>
      </c>
      <c r="F2">
        <v>0.644244802379626</v>
      </c>
      <c r="G2">
        <v>0.656477300202847</v>
      </c>
      <c r="H2">
        <v>0.644877766211187</v>
      </c>
      <c r="I2">
        <v>0.63074284162651</v>
      </c>
      <c r="J2">
        <v>0.641931365407882</v>
      </c>
      <c r="K2">
        <f>AVERAGE(B2:J2)</f>
        <v>0.556837010737347</v>
      </c>
    </row>
    <row r="3" spans="1:11">
      <c r="A3" s="1" t="s">
        <v>10</v>
      </c>
      <c r="B3">
        <v>0.422727272727273</v>
      </c>
      <c r="C3">
        <v>0.679090909090909</v>
      </c>
      <c r="D3">
        <v>0.888181818181818</v>
      </c>
      <c r="E3">
        <v>1.00515151515151</v>
      </c>
      <c r="F3">
        <v>1.10484848484848</v>
      </c>
      <c r="G3">
        <v>1.17727272727273</v>
      </c>
      <c r="H3">
        <v>1.23818181818182</v>
      </c>
      <c r="I3">
        <v>1.26060606060606</v>
      </c>
      <c r="J3">
        <v>1.29454545454545</v>
      </c>
      <c r="K3">
        <f>AVERAGE(B3:J3)</f>
        <v>1.00784511784512</v>
      </c>
    </row>
    <row r="4" spans="1:11">
      <c r="A4" s="1" t="s">
        <v>11</v>
      </c>
      <c r="B4">
        <v>1</v>
      </c>
      <c r="C4">
        <v>0.96969696969697</v>
      </c>
      <c r="D4">
        <v>0.939393939393939</v>
      </c>
      <c r="E4">
        <v>0.878787878787879</v>
      </c>
      <c r="F4">
        <v>0.909090909090909</v>
      </c>
      <c r="G4">
        <v>0.939393939393939</v>
      </c>
      <c r="H4">
        <v>0.96969696969697</v>
      </c>
      <c r="I4">
        <v>0.909090909090909</v>
      </c>
      <c r="J4">
        <v>0.96969696969697</v>
      </c>
      <c r="K4">
        <f>AVERAGE(B4:J4)</f>
        <v>0.942760942760943</v>
      </c>
    </row>
    <row r="5" spans="1:11">
      <c r="A5" s="1" t="s">
        <v>12</v>
      </c>
      <c r="B5">
        <v>0.213734852353042</v>
      </c>
      <c r="C5">
        <v>0.350441346819201</v>
      </c>
      <c r="D5">
        <v>0.448785219504973</v>
      </c>
      <c r="E5">
        <v>0.514925253024631</v>
      </c>
      <c r="F5">
        <v>0.575103525899452</v>
      </c>
      <c r="G5">
        <v>0.63506546469515</v>
      </c>
      <c r="H5">
        <v>0.714913278839706</v>
      </c>
      <c r="I5">
        <v>0.779320877348605</v>
      </c>
      <c r="J5">
        <v>0.817837147955861</v>
      </c>
      <c r="K5">
        <f>AVERAGE(B5:J5)</f>
        <v>0.561125218493402</v>
      </c>
    </row>
    <row r="6" spans="1:11">
      <c r="A6" s="1" t="s">
        <v>13</v>
      </c>
      <c r="B6">
        <v>0.289702911177077</v>
      </c>
      <c r="C6">
        <v>0.405179702608987</v>
      </c>
      <c r="D6">
        <v>0.514212308349812</v>
      </c>
      <c r="E6">
        <v>0.5841640986722</v>
      </c>
      <c r="F6">
        <v>0.644244802379626</v>
      </c>
      <c r="G6">
        <v>0.656477300202847</v>
      </c>
      <c r="H6">
        <v>0.644877766211187</v>
      </c>
      <c r="I6">
        <v>0.63074284162651</v>
      </c>
      <c r="J6">
        <v>0.641931365407882</v>
      </c>
      <c r="K6">
        <f>AVERAGE(B6:J6)</f>
        <v>0.556837010737347</v>
      </c>
    </row>
    <row r="7" spans="1:11">
      <c r="A7" s="1" t="s">
        <v>14</v>
      </c>
      <c r="B7">
        <v>0.422727272727273</v>
      </c>
      <c r="C7">
        <v>0.679090909090909</v>
      </c>
      <c r="D7">
        <v>0.888181818181818</v>
      </c>
      <c r="E7">
        <v>1.00515151515151</v>
      </c>
      <c r="F7">
        <v>1.10484848484848</v>
      </c>
      <c r="G7">
        <v>1.17727272727273</v>
      </c>
      <c r="H7">
        <v>1.23818181818182</v>
      </c>
      <c r="I7">
        <v>1.26060606060606</v>
      </c>
      <c r="J7">
        <v>1.29454545454545</v>
      </c>
      <c r="K7">
        <f>AVERAGE(B7:J7)</f>
        <v>1.00784511784512</v>
      </c>
    </row>
    <row r="8" spans="1:11">
      <c r="A8" s="1" t="s">
        <v>15</v>
      </c>
      <c r="B8">
        <v>1</v>
      </c>
      <c r="C8">
        <v>0.96969696969697</v>
      </c>
      <c r="D8">
        <v>0.939393939393939</v>
      </c>
      <c r="E8">
        <v>0.878787878787879</v>
      </c>
      <c r="F8">
        <v>0.909090909090909</v>
      </c>
      <c r="G8">
        <v>0.939393939393939</v>
      </c>
      <c r="H8">
        <v>0.96969696969697</v>
      </c>
      <c r="I8">
        <v>0.909090909090909</v>
      </c>
      <c r="J8">
        <v>0.96969696969697</v>
      </c>
      <c r="K8">
        <f>AVERAGE(B8:J8)</f>
        <v>0.942760942760943</v>
      </c>
    </row>
    <row r="9" spans="1:11">
      <c r="A9" s="1" t="s">
        <v>16</v>
      </c>
      <c r="B9">
        <v>0.213734852353042</v>
      </c>
      <c r="C9">
        <v>0.350441346819201</v>
      </c>
      <c r="D9">
        <v>0.448785219504973</v>
      </c>
      <c r="E9">
        <v>0.514925253024631</v>
      </c>
      <c r="F9">
        <v>0.575103525899452</v>
      </c>
      <c r="G9">
        <v>0.63506546469515</v>
      </c>
      <c r="H9">
        <v>0.714913278839706</v>
      </c>
      <c r="I9">
        <v>0.779320877348605</v>
      </c>
      <c r="J9">
        <v>0.817837147955861</v>
      </c>
      <c r="K9">
        <f>AVERAGE(B9:J9)</f>
        <v>0.561125218493402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J2" sqref="J2"/>
    </sheetView>
  </sheetViews>
  <sheetFormatPr defaultColWidth="9" defaultRowHeight="16.8"/>
  <cols>
    <col min="1" max="1" width="33.3846153846154" customWidth="1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0.427280785085847</v>
      </c>
      <c r="C2">
        <v>0.531243064293421</v>
      </c>
      <c r="D2">
        <v>0.568210648169692</v>
      </c>
      <c r="E2">
        <v>0.588658133456444</v>
      </c>
      <c r="F2">
        <v>0.590975878875802</v>
      </c>
      <c r="G2">
        <v>0.539795219661853</v>
      </c>
      <c r="H2">
        <v>0.463626926119293</v>
      </c>
      <c r="I2">
        <v>0.40606264005413</v>
      </c>
      <c r="J2">
        <v>0.392611969565242</v>
      </c>
    </row>
    <row r="3" spans="1:10">
      <c r="A3" s="1" t="s">
        <v>10</v>
      </c>
      <c r="B3">
        <v>0.677678793701475</v>
      </c>
      <c r="C3">
        <v>0.822733652581945</v>
      </c>
      <c r="D3">
        <v>0.829297680285036</v>
      </c>
      <c r="E3">
        <v>0.838550405608748</v>
      </c>
      <c r="F3">
        <v>0.804119209383331</v>
      </c>
      <c r="G3">
        <v>0.741954525040172</v>
      </c>
      <c r="H3">
        <v>0.668629144920124</v>
      </c>
      <c r="I3">
        <v>0.590051203107238</v>
      </c>
      <c r="J3">
        <v>0.594491241325583</v>
      </c>
    </row>
    <row r="4" spans="1:10">
      <c r="A4" s="1" t="s">
        <v>11</v>
      </c>
      <c r="B4">
        <v>0.96969696969697</v>
      </c>
      <c r="C4">
        <v>0.878787878787879</v>
      </c>
      <c r="D4">
        <v>0.878787878787879</v>
      </c>
      <c r="E4">
        <v>0.878787878787879</v>
      </c>
      <c r="F4">
        <v>0.909090909090909</v>
      </c>
      <c r="G4">
        <v>0.909090909090909</v>
      </c>
      <c r="H4">
        <v>0.939393939393939</v>
      </c>
      <c r="I4">
        <v>0.96969696969697</v>
      </c>
      <c r="J4">
        <v>1</v>
      </c>
    </row>
    <row r="5" spans="1:10">
      <c r="A5" s="1" t="s">
        <v>12</v>
      </c>
      <c r="B5">
        <v>0.388786587142505</v>
      </c>
      <c r="C5">
        <v>0.4586319202589</v>
      </c>
      <c r="D5">
        <v>0.440033934631436</v>
      </c>
      <c r="E5">
        <v>0.463278046995999</v>
      </c>
      <c r="F5">
        <v>0.447437025949572</v>
      </c>
      <c r="G5">
        <v>0.445904779306232</v>
      </c>
      <c r="H5">
        <v>0.459304950555717</v>
      </c>
      <c r="I5">
        <v>0.473056324853348</v>
      </c>
      <c r="J5">
        <v>0.500860386112513</v>
      </c>
    </row>
    <row r="6" spans="1:10">
      <c r="A6" s="1" t="s">
        <v>13</v>
      </c>
      <c r="B6">
        <v>0.420598964732053</v>
      </c>
      <c r="C6">
        <v>0.509437977221159</v>
      </c>
      <c r="D6">
        <v>0.580064246693321</v>
      </c>
      <c r="E6">
        <v>0.60941572662253</v>
      </c>
      <c r="F6">
        <v>0.621393301496128</v>
      </c>
      <c r="G6">
        <v>0.566701362046503</v>
      </c>
      <c r="H6">
        <v>0.489962224113374</v>
      </c>
      <c r="I6">
        <v>0.423989708066669</v>
      </c>
      <c r="J6">
        <v>0.396619250847748</v>
      </c>
    </row>
    <row r="7" spans="1:10">
      <c r="A7" s="1" t="s">
        <v>14</v>
      </c>
      <c r="B7">
        <v>0.655449227883833</v>
      </c>
      <c r="C7">
        <v>0.76409228139548</v>
      </c>
      <c r="D7">
        <v>0.856595977404092</v>
      </c>
      <c r="E7">
        <v>0.878944742968232</v>
      </c>
      <c r="F7">
        <v>0.872377985123346</v>
      </c>
      <c r="G7">
        <v>0.809864733674342</v>
      </c>
      <c r="H7">
        <v>0.74975465135311</v>
      </c>
      <c r="I7">
        <v>0.664958613163215</v>
      </c>
      <c r="J7">
        <v>0.623237129928338</v>
      </c>
    </row>
    <row r="8" spans="1:10">
      <c r="A8" s="1" t="s">
        <v>15</v>
      </c>
      <c r="B8">
        <v>1</v>
      </c>
      <c r="C8">
        <v>0.939393939393939</v>
      </c>
      <c r="D8">
        <v>0.878787878787879</v>
      </c>
      <c r="E8">
        <v>0.878787878787879</v>
      </c>
      <c r="F8">
        <v>0.909090909090909</v>
      </c>
      <c r="G8">
        <v>0.939393939393939</v>
      </c>
      <c r="H8">
        <v>0.939393939393939</v>
      </c>
      <c r="I8">
        <v>0.96969696969697</v>
      </c>
      <c r="J8">
        <v>0.96969696969697</v>
      </c>
    </row>
    <row r="9" spans="1:10">
      <c r="A9" s="1" t="s">
        <v>16</v>
      </c>
      <c r="B9">
        <v>0.382511934752337</v>
      </c>
      <c r="C9">
        <v>0.430344636316705</v>
      </c>
      <c r="D9">
        <v>0.458117746770155</v>
      </c>
      <c r="E9">
        <v>0.473113800129123</v>
      </c>
      <c r="F9">
        <v>0.479404599992125</v>
      </c>
      <c r="G9">
        <v>0.465845825708989</v>
      </c>
      <c r="H9">
        <v>0.499690205284285</v>
      </c>
      <c r="I9">
        <v>0.513031864598961</v>
      </c>
      <c r="J9">
        <v>0.521415143708289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A1" sqref="A1"/>
    </sheetView>
  </sheetViews>
  <sheetFormatPr defaultColWidth="9" defaultRowHeight="16.8"/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0.452967933965189</v>
      </c>
      <c r="C2">
        <v>0.824673922600865</v>
      </c>
      <c r="D2">
        <v>0.472667427075732</v>
      </c>
      <c r="E2">
        <v>0.454169413339173</v>
      </c>
      <c r="F2">
        <v>0.764708674682558</v>
      </c>
      <c r="G2">
        <v>0.725429029315751</v>
      </c>
      <c r="H2">
        <v>0.566735929450229</v>
      </c>
      <c r="I2">
        <v>0.506707310749993</v>
      </c>
      <c r="J2">
        <v>0.459976251142338</v>
      </c>
    </row>
    <row r="3" spans="1:10">
      <c r="A3" s="1" t="s">
        <v>10</v>
      </c>
      <c r="B3">
        <v>0.72460505088484</v>
      </c>
      <c r="C3">
        <v>1.09203836482345</v>
      </c>
      <c r="D3">
        <v>0.728752900161327</v>
      </c>
      <c r="E3">
        <v>0.686417776938895</v>
      </c>
      <c r="F3">
        <v>0.976703933316786</v>
      </c>
      <c r="G3">
        <v>0.943573339464569</v>
      </c>
      <c r="H3">
        <v>0.793057319479399</v>
      </c>
      <c r="I3">
        <v>0.716996868488479</v>
      </c>
      <c r="J3">
        <v>0.637452175553901</v>
      </c>
    </row>
    <row r="4" spans="1:10">
      <c r="A4" s="1" t="s">
        <v>11</v>
      </c>
      <c r="B4">
        <v>0.96969696969697</v>
      </c>
      <c r="C4">
        <v>0.727272727272727</v>
      </c>
      <c r="D4">
        <v>0.939393939393939</v>
      </c>
      <c r="E4">
        <v>0.909090909090909</v>
      </c>
      <c r="F4">
        <v>0.787878787878788</v>
      </c>
      <c r="G4">
        <v>0.787878787878788</v>
      </c>
      <c r="H4">
        <v>0.939393939393939</v>
      </c>
      <c r="I4">
        <v>0.878787878787879</v>
      </c>
      <c r="J4">
        <v>0.909090909090909</v>
      </c>
    </row>
    <row r="5" spans="1:10">
      <c r="A5" s="1" t="s">
        <v>12</v>
      </c>
      <c r="B5">
        <v>0.42887711305086</v>
      </c>
      <c r="C5">
        <v>0.617031536243882</v>
      </c>
      <c r="D5">
        <v>0.426107358755195</v>
      </c>
      <c r="E5">
        <v>0.417302061209046</v>
      </c>
      <c r="F5">
        <v>0.570740602985081</v>
      </c>
      <c r="G5">
        <v>0.619820430440183</v>
      </c>
      <c r="H5">
        <v>0.567380740060336</v>
      </c>
      <c r="I5">
        <v>0.578230844342573</v>
      </c>
      <c r="J5">
        <v>0.564306970040593</v>
      </c>
    </row>
    <row r="6" spans="1:10">
      <c r="A6" s="1" t="s">
        <v>13</v>
      </c>
      <c r="B6">
        <v>1.03648542134094</v>
      </c>
      <c r="C6">
        <v>1.04235747604815</v>
      </c>
      <c r="D6">
        <v>0.998965290557092</v>
      </c>
      <c r="E6">
        <v>0.960160033374535</v>
      </c>
      <c r="F6">
        <v>0.961895402718061</v>
      </c>
      <c r="G6">
        <v>0.928847711429388</v>
      </c>
      <c r="H6">
        <v>0.729795339589357</v>
      </c>
      <c r="I6">
        <v>0.598647560211527</v>
      </c>
      <c r="J6">
        <v>0.534840312239786</v>
      </c>
    </row>
    <row r="7" spans="1:10">
      <c r="A7" s="1" t="s">
        <v>14</v>
      </c>
      <c r="B7">
        <v>1.29625228660186</v>
      </c>
      <c r="C7">
        <v>1.33097212138928</v>
      </c>
      <c r="D7">
        <v>1.28476410866782</v>
      </c>
      <c r="E7">
        <v>1.24396564031062</v>
      </c>
      <c r="F7">
        <v>1.28088338166905</v>
      </c>
      <c r="G7">
        <v>1.22405601931376</v>
      </c>
      <c r="H7">
        <v>1.03230480637612</v>
      </c>
      <c r="I7">
        <v>0.871305313694421</v>
      </c>
      <c r="J7">
        <v>0.827843023453522</v>
      </c>
    </row>
    <row r="8" spans="1:10">
      <c r="A8" s="1" t="s">
        <v>15</v>
      </c>
      <c r="B8">
        <v>0.666666666666667</v>
      </c>
      <c r="C8">
        <v>0.666666666666667</v>
      </c>
      <c r="D8">
        <v>0.696969696969697</v>
      </c>
      <c r="E8">
        <v>0.696969696969697</v>
      </c>
      <c r="F8">
        <v>0.727272727272727</v>
      </c>
      <c r="G8">
        <v>0.666666666666667</v>
      </c>
      <c r="H8">
        <v>0.818181818181818</v>
      </c>
      <c r="I8">
        <v>0.878787878787879</v>
      </c>
      <c r="J8">
        <v>0.909090909090909</v>
      </c>
    </row>
    <row r="9" spans="1:10">
      <c r="A9" s="1" t="s">
        <v>16</v>
      </c>
      <c r="B9">
        <v>0.771942504671387</v>
      </c>
      <c r="C9">
        <v>0.839609806561595</v>
      </c>
      <c r="D9">
        <v>0.801786107997515</v>
      </c>
      <c r="E9">
        <v>0.778046750619569</v>
      </c>
      <c r="F9">
        <v>0.879596536750874</v>
      </c>
      <c r="G9">
        <v>0.946917764421684</v>
      </c>
      <c r="H9">
        <v>0.775980187980421</v>
      </c>
      <c r="I9">
        <v>0.724396404451326</v>
      </c>
      <c r="J9">
        <v>0.687387986358878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A1" sqref="A1"/>
    </sheetView>
  </sheetViews>
  <sheetFormatPr defaultColWidth="9" defaultRowHeight="16.8"/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0.281014620662162</v>
      </c>
      <c r="C2">
        <v>0.388166562602885</v>
      </c>
      <c r="D2">
        <v>0.463279664141781</v>
      </c>
      <c r="E2">
        <v>0.502856685857452</v>
      </c>
      <c r="F2">
        <v>0.509026977642705</v>
      </c>
      <c r="G2">
        <v>0.457197415796243</v>
      </c>
      <c r="H2">
        <v>0.402302158626052</v>
      </c>
      <c r="I2">
        <v>0.360457855632246</v>
      </c>
      <c r="J2">
        <v>0.372009241020687</v>
      </c>
    </row>
    <row r="3" spans="1:10">
      <c r="A3" s="1" t="s">
        <v>10</v>
      </c>
      <c r="B3">
        <v>0.393543202074421</v>
      </c>
      <c r="C3">
        <v>0.624490830007423</v>
      </c>
      <c r="D3">
        <v>0.771926802758428</v>
      </c>
      <c r="E3">
        <v>0.844870993458738</v>
      </c>
      <c r="F3">
        <v>0.819190985530079</v>
      </c>
      <c r="G3">
        <v>0.760037718355042</v>
      </c>
      <c r="H3">
        <v>0.697920579048873</v>
      </c>
      <c r="I3">
        <v>0.658547685206403</v>
      </c>
      <c r="J3">
        <v>0.703454944312367</v>
      </c>
    </row>
    <row r="4" spans="1:10">
      <c r="A4" s="1" t="s">
        <v>11</v>
      </c>
      <c r="B4">
        <v>1</v>
      </c>
      <c r="C4">
        <v>0.96969696969697</v>
      </c>
      <c r="D4">
        <v>0.96969696969697</v>
      </c>
      <c r="E4">
        <v>0.939393939393939</v>
      </c>
      <c r="F4">
        <v>0.939393939393939</v>
      </c>
      <c r="G4">
        <v>0.96969696969697</v>
      </c>
      <c r="H4">
        <v>0.96969696969697</v>
      </c>
      <c r="I4">
        <v>1</v>
      </c>
      <c r="J4">
        <v>1</v>
      </c>
    </row>
    <row r="5" spans="1:10">
      <c r="A5" s="1" t="s">
        <v>12</v>
      </c>
      <c r="B5">
        <v>0.198123114480936</v>
      </c>
      <c r="C5">
        <v>0.304905331284589</v>
      </c>
      <c r="D5">
        <v>0.355070090644716</v>
      </c>
      <c r="E5">
        <v>0.394529992887649</v>
      </c>
      <c r="F5">
        <v>0.397794644187503</v>
      </c>
      <c r="G5">
        <v>0.427638380419288</v>
      </c>
      <c r="H5">
        <v>0.4819193340791</v>
      </c>
      <c r="I5">
        <v>0.493165001620643</v>
      </c>
      <c r="J5">
        <v>0.590104772072995</v>
      </c>
    </row>
    <row r="6" spans="1:10">
      <c r="A6" s="1" t="s">
        <v>13</v>
      </c>
      <c r="B6">
        <v>0.289546253093997</v>
      </c>
      <c r="C6">
        <v>0.375344415019309</v>
      </c>
      <c r="D6">
        <v>0.451223955514903</v>
      </c>
      <c r="E6">
        <v>0.501491041888927</v>
      </c>
      <c r="F6">
        <v>0.547870164926769</v>
      </c>
      <c r="G6">
        <v>0.560654800894837</v>
      </c>
      <c r="H6">
        <v>0.461135552417697</v>
      </c>
      <c r="I6">
        <v>0.446359605464021</v>
      </c>
      <c r="J6">
        <v>0.434460562910575</v>
      </c>
    </row>
    <row r="7" spans="1:10">
      <c r="A7" s="1" t="s">
        <v>14</v>
      </c>
      <c r="B7">
        <v>0.42574101675114</v>
      </c>
      <c r="C7">
        <v>0.596798911927363</v>
      </c>
      <c r="D7">
        <v>0.775319221839219</v>
      </c>
      <c r="E7">
        <v>0.864016896876572</v>
      </c>
      <c r="F7">
        <v>0.945156366602481</v>
      </c>
      <c r="G7">
        <v>1.02259120105188</v>
      </c>
      <c r="H7">
        <v>0.8744135433416</v>
      </c>
      <c r="I7">
        <v>0.929998964073506</v>
      </c>
      <c r="J7">
        <v>0.875215147581811</v>
      </c>
    </row>
    <row r="8" spans="1:10">
      <c r="A8" s="1" t="s">
        <v>15</v>
      </c>
      <c r="B8">
        <v>1</v>
      </c>
      <c r="C8">
        <v>1</v>
      </c>
      <c r="D8">
        <v>0.939393939393939</v>
      </c>
      <c r="E8">
        <v>0.939393939393939</v>
      </c>
      <c r="F8">
        <v>0.909090909090909</v>
      </c>
      <c r="G8">
        <v>0.939393939393939</v>
      </c>
      <c r="H8">
        <v>0.96969696969697</v>
      </c>
      <c r="I8">
        <v>1</v>
      </c>
      <c r="J8">
        <v>1</v>
      </c>
    </row>
    <row r="9" spans="1:10">
      <c r="A9" s="1" t="s">
        <v>16</v>
      </c>
      <c r="B9">
        <v>0.190419625226343</v>
      </c>
      <c r="C9">
        <v>0.296489128129133</v>
      </c>
      <c r="D9">
        <v>0.385132249438357</v>
      </c>
      <c r="E9">
        <v>0.427239599574551</v>
      </c>
      <c r="F9">
        <v>0.463539365590891</v>
      </c>
      <c r="G9">
        <v>0.549041318934616</v>
      </c>
      <c r="H9">
        <v>0.565312535156724</v>
      </c>
      <c r="I9">
        <v>0.644226199585553</v>
      </c>
      <c r="J9">
        <v>0.667001505515775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A1" sqref="A1"/>
    </sheetView>
  </sheetViews>
  <sheetFormatPr defaultColWidth="9" defaultRowHeight="16.8"/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0.326157168550261</v>
      </c>
      <c r="C2">
        <v>0.383872610697538</v>
      </c>
      <c r="D2">
        <v>0.357709013184875</v>
      </c>
      <c r="E2">
        <v>0.380014435785846</v>
      </c>
      <c r="F2">
        <v>0.42583808847882</v>
      </c>
      <c r="G2">
        <v>0.419232220625957</v>
      </c>
      <c r="H2">
        <v>0.357351850560983</v>
      </c>
      <c r="I2">
        <v>0.308517934854948</v>
      </c>
      <c r="J2">
        <v>0.328660092799331</v>
      </c>
    </row>
    <row r="3" spans="1:10">
      <c r="A3" s="1" t="s">
        <v>10</v>
      </c>
      <c r="B3">
        <v>0.533697014416991</v>
      </c>
      <c r="C3">
        <v>0.617975327148264</v>
      </c>
      <c r="D3">
        <v>0.584335449565255</v>
      </c>
      <c r="E3">
        <v>0.66924501426894</v>
      </c>
      <c r="F3">
        <v>0.735020497476108</v>
      </c>
      <c r="G3">
        <v>0.692631749165583</v>
      </c>
      <c r="H3">
        <v>0.501297747638799</v>
      </c>
      <c r="I3">
        <v>0.519035638457915</v>
      </c>
      <c r="J3">
        <v>0.559306628355425</v>
      </c>
    </row>
    <row r="4" spans="1:10">
      <c r="A4" s="1" t="s">
        <v>11</v>
      </c>
      <c r="B4">
        <v>1</v>
      </c>
      <c r="C4">
        <v>0.96969696969697</v>
      </c>
      <c r="D4">
        <v>1</v>
      </c>
      <c r="E4">
        <v>0.96969696969697</v>
      </c>
      <c r="F4">
        <v>1</v>
      </c>
      <c r="G4">
        <v>0.96969696969697</v>
      </c>
      <c r="H4">
        <v>0.939393939393939</v>
      </c>
      <c r="I4">
        <v>1</v>
      </c>
      <c r="J4">
        <v>1</v>
      </c>
    </row>
    <row r="5" spans="1:10">
      <c r="A5" s="1" t="s">
        <v>12</v>
      </c>
      <c r="B5">
        <v>0.299398263168953</v>
      </c>
      <c r="C5">
        <v>0.431616360683528</v>
      </c>
      <c r="D5">
        <v>0.313815067085366</v>
      </c>
      <c r="E5">
        <v>0.406966149234564</v>
      </c>
      <c r="F5">
        <v>0.413580752844478</v>
      </c>
      <c r="G5">
        <v>0.447738783609951</v>
      </c>
      <c r="H5">
        <v>0.422052388698648</v>
      </c>
      <c r="I5">
        <v>0.460591439444405</v>
      </c>
      <c r="J5">
        <v>0.521502343109107</v>
      </c>
    </row>
    <row r="6" spans="1:10">
      <c r="A6" s="1" t="s">
        <v>13</v>
      </c>
      <c r="B6">
        <v>0.384354512032272</v>
      </c>
      <c r="C6">
        <v>0.376219866605411</v>
      </c>
      <c r="D6">
        <v>0.358332648924587</v>
      </c>
      <c r="E6">
        <v>0.400169897290995</v>
      </c>
      <c r="F6">
        <v>0.431783594783629</v>
      </c>
      <c r="G6">
        <v>0.477184403035426</v>
      </c>
      <c r="H6">
        <v>0.406959791101107</v>
      </c>
      <c r="I6">
        <v>0.303690254889653</v>
      </c>
      <c r="J6">
        <v>0.357877969867539</v>
      </c>
    </row>
    <row r="7" spans="1:10">
      <c r="A7" s="1" t="s">
        <v>14</v>
      </c>
      <c r="B7">
        <v>0.564971792600643</v>
      </c>
      <c r="C7">
        <v>0.578442627567669</v>
      </c>
      <c r="D7">
        <v>0.606194908081567</v>
      </c>
      <c r="E7">
        <v>0.698776489910833</v>
      </c>
      <c r="F7">
        <v>0.714447333833401</v>
      </c>
      <c r="G7">
        <v>0.765807088392681</v>
      </c>
      <c r="H7">
        <v>0.560850754011623</v>
      </c>
      <c r="I7">
        <v>0.449474903132775</v>
      </c>
      <c r="J7">
        <v>0.594972765948725</v>
      </c>
    </row>
    <row r="8" spans="1:10">
      <c r="A8" s="1" t="s">
        <v>15</v>
      </c>
      <c r="B8">
        <v>0.939393939393939</v>
      </c>
      <c r="C8">
        <v>0.909090909090909</v>
      </c>
      <c r="D8">
        <v>1</v>
      </c>
      <c r="E8">
        <v>0.96969696969697</v>
      </c>
      <c r="F8">
        <v>0.909090909090909</v>
      </c>
      <c r="G8">
        <v>0.96969696969697</v>
      </c>
      <c r="H8">
        <v>0.939393939393939</v>
      </c>
      <c r="I8">
        <v>1</v>
      </c>
      <c r="J8">
        <v>1</v>
      </c>
    </row>
    <row r="9" spans="1:10">
      <c r="A9" s="1" t="s">
        <v>16</v>
      </c>
      <c r="B9">
        <v>0.381699975813809</v>
      </c>
      <c r="C9">
        <v>0.427860175247973</v>
      </c>
      <c r="D9">
        <v>0.316743225198231</v>
      </c>
      <c r="E9">
        <v>0.408781004028045</v>
      </c>
      <c r="F9">
        <v>0.426783547854518</v>
      </c>
      <c r="G9">
        <v>0.50393171443928</v>
      </c>
      <c r="H9">
        <v>0.502357892329068</v>
      </c>
      <c r="I9">
        <v>0.391161310000372</v>
      </c>
      <c r="J9">
        <v>0.530810745446007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K5" sqref="K5"/>
    </sheetView>
  </sheetViews>
  <sheetFormatPr defaultColWidth="9" defaultRowHeight="16.8"/>
  <cols>
    <col min="1" max="1" width="33.3846153846154" customWidth="1"/>
    <col min="11" max="11" width="12.9230769230769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1">
      <c r="A2" s="1" t="s">
        <v>9</v>
      </c>
      <c r="B2">
        <v>0.318221046483608</v>
      </c>
      <c r="C2">
        <v>0.391942248371523</v>
      </c>
      <c r="D2">
        <v>0.418654007340284</v>
      </c>
      <c r="E2">
        <v>0.429918404183943</v>
      </c>
      <c r="F2">
        <v>0.453265726649386</v>
      </c>
      <c r="G2">
        <v>0.427389033262696</v>
      </c>
      <c r="H2">
        <v>0.355287018914002</v>
      </c>
      <c r="I2">
        <v>0.330608737172073</v>
      </c>
      <c r="J2">
        <v>0.3359732900986</v>
      </c>
      <c r="K2">
        <f>AVERAGE(B2:J2)</f>
        <v>0.384584390275124</v>
      </c>
    </row>
    <row r="3" spans="1:11">
      <c r="A3" s="1" t="s">
        <v>10</v>
      </c>
      <c r="B3">
        <v>0.475524041800197</v>
      </c>
      <c r="C3">
        <v>0.606287140046195</v>
      </c>
      <c r="D3">
        <v>0.641933737217206</v>
      </c>
      <c r="E3">
        <v>0.678939681105336</v>
      </c>
      <c r="F3">
        <v>0.630489752544687</v>
      </c>
      <c r="G3">
        <v>0.586078596874364</v>
      </c>
      <c r="H3">
        <v>0.498691919329783</v>
      </c>
      <c r="I3">
        <v>0.50341824035703</v>
      </c>
      <c r="J3">
        <v>0.520493603873585</v>
      </c>
      <c r="K3">
        <f>AVERAGE(B3:J3)</f>
        <v>0.571317412572042</v>
      </c>
    </row>
    <row r="4" spans="1:11">
      <c r="A4" s="1" t="s">
        <v>11</v>
      </c>
      <c r="B4">
        <v>1</v>
      </c>
      <c r="C4">
        <v>0.909090909090909</v>
      </c>
      <c r="D4">
        <v>0.939393939393939</v>
      </c>
      <c r="E4">
        <v>0.939393939393939</v>
      </c>
      <c r="F4">
        <v>0.909090909090909</v>
      </c>
      <c r="G4">
        <v>0.939393939393939</v>
      </c>
      <c r="H4">
        <v>0.96969696969697</v>
      </c>
      <c r="I4">
        <v>1</v>
      </c>
      <c r="J4">
        <v>1</v>
      </c>
      <c r="K4">
        <f>AVERAGE(B4:J4)</f>
        <v>0.956228956228956</v>
      </c>
    </row>
    <row r="5" spans="1:11">
      <c r="A5" s="1" t="s">
        <v>12</v>
      </c>
      <c r="B5">
        <v>0.257142554246417</v>
      </c>
      <c r="C5">
        <v>0.332956108252062</v>
      </c>
      <c r="D5">
        <v>0.316341435621072</v>
      </c>
      <c r="E5">
        <v>0.361559880015079</v>
      </c>
      <c r="F5">
        <v>0.358018071544952</v>
      </c>
      <c r="G5">
        <v>0.365127618588415</v>
      </c>
      <c r="H5">
        <v>0.354775120089473</v>
      </c>
      <c r="I5">
        <v>0.414890333631488</v>
      </c>
      <c r="J5">
        <v>0.459259681178131</v>
      </c>
      <c r="K5">
        <f>AVERAGE(B5:J5)</f>
        <v>0.357785644796343</v>
      </c>
    </row>
    <row r="6" spans="1:11">
      <c r="A6" s="1" t="s">
        <v>13</v>
      </c>
      <c r="B6">
        <v>0.318221046483608</v>
      </c>
      <c r="C6">
        <v>0.391942248371523</v>
      </c>
      <c r="D6">
        <v>0.418654007340284</v>
      </c>
      <c r="E6">
        <v>0.429918404183943</v>
      </c>
      <c r="F6">
        <v>0.453265726649386</v>
      </c>
      <c r="G6">
        <v>0.427389033262696</v>
      </c>
      <c r="H6">
        <v>0.355287018914002</v>
      </c>
      <c r="I6">
        <v>0.330608737172073</v>
      </c>
      <c r="J6">
        <v>0.3359732900986</v>
      </c>
      <c r="K6">
        <f>AVERAGE(B6:J6)</f>
        <v>0.384584390275124</v>
      </c>
    </row>
    <row r="7" spans="1:11">
      <c r="A7" s="1" t="s">
        <v>14</v>
      </c>
      <c r="B7">
        <v>0.475524041800197</v>
      </c>
      <c r="C7">
        <v>0.606287140046195</v>
      </c>
      <c r="D7">
        <v>0.641933737217206</v>
      </c>
      <c r="E7">
        <v>0.678939681105336</v>
      </c>
      <c r="F7">
        <v>0.630489752544687</v>
      </c>
      <c r="G7">
        <v>0.586078596874364</v>
      </c>
      <c r="H7">
        <v>0.498691919329783</v>
      </c>
      <c r="I7">
        <v>0.50341824035703</v>
      </c>
      <c r="J7">
        <v>0.520493603873585</v>
      </c>
      <c r="K7">
        <f>AVERAGE(B7:J7)</f>
        <v>0.571317412572042</v>
      </c>
    </row>
    <row r="8" spans="1:11">
      <c r="A8" s="1" t="s">
        <v>15</v>
      </c>
      <c r="B8">
        <v>1</v>
      </c>
      <c r="C8">
        <v>0.909090909090909</v>
      </c>
      <c r="D8">
        <v>0.939393939393939</v>
      </c>
      <c r="E8">
        <v>0.939393939393939</v>
      </c>
      <c r="F8">
        <v>0.909090909090909</v>
      </c>
      <c r="G8">
        <v>0.939393939393939</v>
      </c>
      <c r="H8">
        <v>0.96969696969697</v>
      </c>
      <c r="I8">
        <v>1</v>
      </c>
      <c r="J8">
        <v>1</v>
      </c>
      <c r="K8">
        <f>AVERAGE(B8:J8)</f>
        <v>0.956228956228956</v>
      </c>
    </row>
    <row r="9" spans="1:11">
      <c r="A9" s="1" t="s">
        <v>16</v>
      </c>
      <c r="B9">
        <v>0.257142554246417</v>
      </c>
      <c r="C9">
        <v>0.332956108252062</v>
      </c>
      <c r="D9">
        <v>0.316341435621072</v>
      </c>
      <c r="E9">
        <v>0.361559880015079</v>
      </c>
      <c r="F9">
        <v>0.358018071544952</v>
      </c>
      <c r="G9">
        <v>0.365127618588415</v>
      </c>
      <c r="H9">
        <v>0.354775120089473</v>
      </c>
      <c r="I9">
        <v>0.414890333631488</v>
      </c>
      <c r="J9">
        <v>0.459259681178131</v>
      </c>
      <c r="K9">
        <f>AVERAGE(B9:J9)</f>
        <v>0.357785644796343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constant</vt:lpstr>
      <vt:lpstr>gru</vt:lpstr>
      <vt:lpstr>tcn</vt:lpstr>
      <vt:lpstr>Nbeats</vt:lpstr>
      <vt:lpstr>itransformer</vt:lpstr>
      <vt:lpstr>ensemble_model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Dennis_lzm</cp:lastModifiedBy>
  <dcterms:created xsi:type="dcterms:W3CDTF">2025-10-16T17:02:00Z</dcterms:created>
  <dcterms:modified xsi:type="dcterms:W3CDTF">2025-10-16T17:11:00Z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F6B044DC1FB4A727A4B6F068718228E6_42</vt:lpwstr>
  </property>
  <property fmtid="{D5CDD505-2E9C-101B-9397-08002B2CF9AE}" pid="3" name="KSOProductBuildVer">
    <vt:lpwstr>2052-12.1.22553.22553</vt:lpwstr>
  </property>
</Properties>
</file>